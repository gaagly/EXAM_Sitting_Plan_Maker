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comments1.xml" ContentType="application/vnd.openxmlformats-officedocument.spreadsheetml.comment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Sheet2" sheetId="2" state="visible" r:id="rId4"/>
    <sheet name="Sheet3" sheetId="3" state="visible" r:id="rId5"/>
    <sheet name="Sheet4" sheetId="4" state="visible" r:id="rId6"/>
  </sheets>
  <definedNames>
    <definedName function="true" hidden="false" name="Sheet2.SEATING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F5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Anusha:
</t>
        </r>
        <r>
          <rPr>
            <sz val="9"/>
            <color rgb="FF000000"/>
            <rFont val="Tahoma"/>
            <family val="2"/>
            <charset val="1"/>
          </rPr>
          <t xml:space="preserve">Default Value is zero. Input a whole number</t>
        </r>
      </text>
    </comment>
  </commentList>
</comments>
</file>

<file path=xl/sharedStrings.xml><?xml version="1.0" encoding="utf-8"?>
<sst xmlns="http://schemas.openxmlformats.org/spreadsheetml/2006/main" count="81" uniqueCount="67">
  <si>
    <t xml:space="preserve">Available Rooms</t>
  </si>
  <si>
    <t xml:space="preserve">Class10A</t>
  </si>
  <si>
    <t xml:space="preserve">Class10B</t>
  </si>
  <si>
    <t xml:space="preserve">Class12A</t>
  </si>
  <si>
    <t xml:space="preserve">Class12B</t>
  </si>
  <si>
    <t xml:space="preserve">Class 10A</t>
  </si>
  <si>
    <t xml:space="preserve">Class 10B</t>
  </si>
  <si>
    <t xml:space="preserve">Class 9A</t>
  </si>
  <si>
    <t xml:space="preserve">Class 9B</t>
  </si>
  <si>
    <t xml:space="preserve">Total Students Per class</t>
  </si>
  <si>
    <t xml:space="preserve">Class 12S</t>
  </si>
  <si>
    <t xml:space="preserve">Rows</t>
  </si>
  <si>
    <t xml:space="preserve">First Roll No</t>
  </si>
  <si>
    <t xml:space="preserve">Class 11S</t>
  </si>
  <si>
    <t xml:space="preserve">Column</t>
  </si>
  <si>
    <t xml:space="preserve">Last Roll No</t>
  </si>
  <si>
    <t xml:space="preserve">Total Capacity Students per class</t>
  </si>
  <si>
    <t xml:space="preserve">Limit Students per class</t>
  </si>
  <si>
    <t xml:space="preserve">Total Available SEATING Capacity</t>
  </si>
  <si>
    <t xml:space="preserve">Total Limited SEATING Capacity</t>
  </si>
  <si>
    <t xml:space="preserve">Exams taking classes</t>
  </si>
  <si>
    <t xml:space="preserve">Total Students Taking exams</t>
  </si>
  <si>
    <t xml:space="preserve">Class 11C</t>
  </si>
  <si>
    <t xml:space="preserve">Class room status</t>
  </si>
  <si>
    <t xml:space="preserve">If there is any Limit then</t>
  </si>
  <si>
    <t xml:space="preserve">Class 12C</t>
  </si>
  <si>
    <t xml:space="preserve">No. of Rooms Required</t>
  </si>
  <si>
    <t xml:space="preserve">Class 8A</t>
  </si>
  <si>
    <t xml:space="preserve">Class 8B</t>
  </si>
  <si>
    <t xml:space="preserve">School Name</t>
  </si>
  <si>
    <t xml:space="preserve">Best public  School</t>
  </si>
  <si>
    <t xml:space="preserve">Class 7A</t>
  </si>
  <si>
    <t xml:space="preserve">EXAM NAME</t>
  </si>
  <si>
    <t xml:space="preserve">SSE 2021-22</t>
  </si>
  <si>
    <t xml:space="preserve">Class 7B</t>
  </si>
  <si>
    <t xml:space="preserve">Class 6A</t>
  </si>
  <si>
    <t xml:space="preserve">Class 6B</t>
  </si>
  <si>
    <t xml:space="preserve">Hindi Lab</t>
  </si>
  <si>
    <t xml:space="preserve">SST. Lab</t>
  </si>
  <si>
    <t xml:space="preserve">Maths Lab</t>
  </si>
  <si>
    <t xml:space="preserve">NCC Room</t>
  </si>
  <si>
    <t xml:space="preserve">Class 1A</t>
  </si>
  <si>
    <t xml:space="preserve">Class 1B</t>
  </si>
  <si>
    <t xml:space="preserve">Class 1C</t>
  </si>
  <si>
    <t xml:space="preserve">Class 2A</t>
  </si>
  <si>
    <t xml:space="preserve">Class 2B</t>
  </si>
  <si>
    <t xml:space="preserve">Class 2C</t>
  </si>
  <si>
    <t xml:space="preserve">Class 3A</t>
  </si>
  <si>
    <t xml:space="preserve">Class 3B</t>
  </si>
  <si>
    <t xml:space="preserve">Class 3C</t>
  </si>
  <si>
    <t xml:space="preserve">Class 4A</t>
  </si>
  <si>
    <t xml:space="preserve">Class 4B</t>
  </si>
  <si>
    <t xml:space="preserve">Class 4C</t>
  </si>
  <si>
    <t xml:space="preserve">Class 5A</t>
  </si>
  <si>
    <t xml:space="preserve">Class 5B</t>
  </si>
  <si>
    <t xml:space="preserve">Class 5C</t>
  </si>
  <si>
    <t xml:space="preserve">er</t>
  </si>
  <si>
    <t xml:space="preserve">Janendra</t>
  </si>
  <si>
    <t xml:space="preserve">kdjf</t>
  </si>
  <si>
    <t xml:space="preserve">Ollo</t>
  </si>
  <si>
    <t xml:space="preserve">Mera naam joker</t>
  </si>
  <si>
    <t xml:space="preserve">df</t>
  </si>
  <si>
    <t xml:space="preserve">hjh</t>
  </si>
  <si>
    <t xml:space="preserve">sd</t>
  </si>
  <si>
    <t xml:space="preserve">gf</t>
  </si>
  <si>
    <t xml:space="preserve">Total Classes</t>
  </si>
  <si>
    <t xml:space="preserve">Total Students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</si>
</sst>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\ HH:MM"/>
  </numFmts>
  <fonts count="9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sz val="11"/>
      <color rgb="FFFFFFFF"/>
      <name val="Calibri"/>
      <family val="0"/>
    </font>
    <font>
      <sz val="11"/>
      <color rgb="FF000000"/>
      <name val="Calibri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2CC"/>
        <bgColor rgb="FFEDEDED"/>
      </patternFill>
    </fill>
    <fill>
      <patternFill patternType="solid">
        <fgColor rgb="FFEDEDED"/>
        <bgColor rgb="FFFFF2CC"/>
      </patternFill>
    </fill>
    <fill>
      <patternFill patternType="solid">
        <fgColor rgb="FFF8CBAD"/>
        <bgColor rgb="FFFFF2CC"/>
      </patternFill>
    </fill>
    <fill>
      <patternFill patternType="solid">
        <fgColor rgb="FFFE8080"/>
        <bgColor rgb="FFED7D31"/>
      </patternFill>
    </fill>
    <fill>
      <patternFill patternType="solid">
        <fgColor rgb="FFFF0000"/>
        <bgColor rgb="FF993300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rgb="FF2E75B6"/>
      </left>
      <right style="thin">
        <color rgb="FF2E75B6"/>
      </right>
      <top style="thin">
        <color rgb="FF2E75B6"/>
      </top>
      <bottom style="thin">
        <color rgb="FF2E75B6"/>
      </bottom>
      <diagonal/>
    </border>
    <border diagonalUp="false" diagonalDown="false">
      <left style="medium">
        <color rgb="FFFF0000"/>
      </left>
      <right style="thin"/>
      <top style="medium">
        <color rgb="FFFF0000"/>
      </top>
      <bottom style="thin"/>
      <diagonal/>
    </border>
    <border diagonalUp="false" diagonalDown="false">
      <left style="thin"/>
      <right style="medium">
        <color rgb="FFFF0000"/>
      </right>
      <top style="medium">
        <color rgb="FFFF0000"/>
      </top>
      <bottom style="thin"/>
      <diagonal/>
    </border>
    <border diagonalUp="false" diagonalDown="false">
      <left style="medium">
        <color rgb="FFFF0000"/>
      </left>
      <right style="thin"/>
      <top style="thin"/>
      <bottom/>
      <diagonal/>
    </border>
    <border diagonalUp="false" diagonalDown="false">
      <left style="thin"/>
      <right style="medium">
        <color rgb="FFFF0000"/>
      </right>
      <top style="thin"/>
      <bottom/>
      <diagonal/>
    </border>
    <border diagonalUp="false" diagonalDown="false">
      <left style="thin">
        <color rgb="FFED7D31"/>
      </left>
      <right style="thin">
        <color rgb="FFED7D31"/>
      </right>
      <top style="thin">
        <color rgb="FFED7D31"/>
      </top>
      <bottom style="thin">
        <color rgb="FFED7D31"/>
      </bottom>
      <diagonal/>
    </border>
    <border diagonalUp="false" diagonalDown="false">
      <left/>
      <right/>
      <top style="medium">
        <color rgb="FF2E75B6"/>
      </top>
      <bottom style="thin">
        <color rgb="FF2E75B6"/>
      </bottom>
      <diagonal/>
    </border>
    <border diagonalUp="false" diagonalDown="false">
      <left/>
      <right style="medium">
        <color rgb="FF2E75B6"/>
      </right>
      <top style="medium">
        <color rgb="FF2E75B6"/>
      </top>
      <bottom style="thin">
        <color rgb="FF2E75B6"/>
      </bottom>
      <diagonal/>
    </border>
    <border diagonalUp="false" diagonalDown="false">
      <left/>
      <right/>
      <top/>
      <bottom style="thin">
        <color rgb="FF2E75B6"/>
      </bottom>
      <diagonal/>
    </border>
    <border diagonalUp="false" diagonalDown="false">
      <left/>
      <right style="medium">
        <color rgb="FF2E75B6"/>
      </right>
      <top/>
      <bottom style="thin">
        <color rgb="FF2E75B6"/>
      </bottom>
      <diagonal/>
    </border>
    <border diagonalUp="false" diagonalDown="false">
      <left/>
      <right style="medium">
        <color rgb="FF2E75B6"/>
      </right>
      <top/>
      <bottom/>
      <diagonal/>
    </border>
    <border diagonalUp="false" diagonalDown="false">
      <left/>
      <right/>
      <top/>
      <bottom style="medium">
        <color rgb="FF2E75B6"/>
      </bottom>
      <diagonal/>
    </border>
    <border diagonalUp="false" diagonalDown="false">
      <left/>
      <right style="medium">
        <color rgb="FF2E75B6"/>
      </right>
      <top/>
      <bottom style="medium">
        <color rgb="FF2E75B6"/>
      </bottom>
      <diagonal/>
    </border>
    <border diagonalUp="false" diagonalDown="false">
      <left/>
      <right style="thin">
        <color rgb="FF2E75B6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5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2" borderId="3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7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8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0" fillId="3" borderId="8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4" borderId="9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4" fillId="4" borderId="1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8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4" borderId="1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4" borderId="15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8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EDEDED"/>
      <rgbColor rgb="FF660066"/>
      <rgbColor rgb="FFFE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8CBAD"/>
      <rgbColor rgb="FF2E75B6"/>
      <rgbColor rgb="FF33CCCC"/>
      <rgbColor rgb="FF99CC00"/>
      <rgbColor rgb="FFFFCC00"/>
      <rgbColor rgb="FFFF9900"/>
      <rgbColor rgb="FFED7D3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198000</xdr:colOff>
      <xdr:row>12</xdr:row>
      <xdr:rowOff>104760</xdr:rowOff>
    </xdr:from>
    <xdr:to>
      <xdr:col>11</xdr:col>
      <xdr:colOff>67320</xdr:colOff>
      <xdr:row>13</xdr:row>
      <xdr:rowOff>167400</xdr:rowOff>
    </xdr:to>
    <xdr:sp>
      <xdr:nvSpPr>
        <xdr:cNvPr id="0" name="CustomShape 1"/>
        <xdr:cNvSpPr/>
      </xdr:nvSpPr>
      <xdr:spPr>
        <a:xfrm>
          <a:off x="9079560" y="3562200"/>
          <a:ext cx="2904480" cy="253080"/>
        </a:xfrm>
        <a:prstGeom prst="rect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/>
      </xdr:style>
      <xdr:txBody>
        <a:bodyPr wrap="none" lIns="90000" rIns="90000" tIns="45000" bIns="45000"/>
        <a:p>
          <a:pPr>
            <a:lnSpc>
              <a:spcPct val="100000"/>
            </a:lnSpc>
          </a:pPr>
          <a:r>
            <a:rPr b="0" lang="en-IN" sz="1100" spc="-1" strike="noStrike">
              <a:solidFill>
                <a:srgbClr val="ffffff"/>
              </a:solidFill>
              <a:latin typeface="Calibri"/>
            </a:rPr>
            <a:t>ENTER VALUES IN YELLOW CELLS ONLY</a:t>
          </a:r>
          <a:endParaRPr b="0" lang="en-IN" sz="1100" spc="-1" strike="noStrike">
            <a:latin typeface="Times New Roman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K6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3" activeCellId="0" sqref="D13"/>
    </sheetView>
  </sheetViews>
  <sheetFormatPr defaultRowHeight="15" zeroHeight="false" outlineLevelRow="0" outlineLevelCol="0"/>
  <cols>
    <col collapsed="false" customWidth="true" hidden="false" outlineLevel="0" max="1" min="1" style="0" width="15.85"/>
    <col collapsed="false" customWidth="true" hidden="false" outlineLevel="0" max="2" min="2" style="0" width="8.53"/>
    <col collapsed="false" customWidth="true" hidden="false" outlineLevel="0" max="3" min="3" style="1" width="23.57"/>
    <col collapsed="false" customWidth="true" hidden="false" outlineLevel="0" max="4" min="4" style="0" width="16.85"/>
    <col collapsed="false" customWidth="true" hidden="false" outlineLevel="0" max="5" min="5" style="0" width="18"/>
    <col collapsed="false" customWidth="true" hidden="false" outlineLevel="0" max="1025" min="6" style="0" width="8.53"/>
  </cols>
  <sheetData>
    <row r="1" s="3" customFormat="true" ht="15.75" hidden="false" customHeight="false" outlineLevel="0" collapsed="false">
      <c r="A1" s="2" t="s">
        <v>0</v>
      </c>
      <c r="C1" s="1"/>
      <c r="H1" s="4" t="s">
        <v>1</v>
      </c>
      <c r="I1" s="4" t="s">
        <v>2</v>
      </c>
      <c r="J1" s="4" t="s">
        <v>3</v>
      </c>
      <c r="K1" s="4" t="s">
        <v>4</v>
      </c>
      <c r="L1" s="4" t="s">
        <v>5</v>
      </c>
      <c r="M1" s="4" t="s">
        <v>6</v>
      </c>
      <c r="N1" s="4" t="s">
        <v>7</v>
      </c>
      <c r="O1" s="4" t="s">
        <v>8</v>
      </c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="5" customFormat="true" ht="15.75" hidden="false" customHeight="false" outlineLevel="0" collapsed="false">
      <c r="A2" s="5" t="n">
        <f aca="false">COUNTA(A3:A60)</f>
        <v>33</v>
      </c>
      <c r="C2" s="1"/>
      <c r="G2" s="5" t="s">
        <v>9</v>
      </c>
      <c r="H2" s="5" t="n">
        <f aca="false">IF(H3="","",H4-H3+1)</f>
        <v>41</v>
      </c>
      <c r="I2" s="5" t="n">
        <f aca="false">IF(I3="","",I4-I3+1)</f>
        <v>42</v>
      </c>
      <c r="J2" s="5" t="n">
        <f aca="false">IF(J3="","",J4-J3+1)</f>
        <v>35</v>
      </c>
      <c r="K2" s="5" t="n">
        <f aca="false">IF(K3="","",K4-K3+1)</f>
        <v>20</v>
      </c>
      <c r="L2" s="5" t="n">
        <f aca="false">IF(L3="","",L4-L3+1)</f>
        <v>39</v>
      </c>
      <c r="M2" s="5" t="n">
        <f aca="false">IF(M3="","",M4-M3+1)</f>
        <v>39</v>
      </c>
      <c r="N2" s="5" t="n">
        <f aca="false">IF(N3="","",N4-N3+1)</f>
        <v>40</v>
      </c>
      <c r="O2" s="5" t="n">
        <f aca="false">IF(O3="","",O4-O3+1)</f>
        <v>39</v>
      </c>
      <c r="P2" s="5" t="str">
        <f aca="false">IF(P3="","",P4-P3+1)</f>
        <v/>
      </c>
      <c r="Q2" s="5" t="str">
        <f aca="false">IF(Q3="","",Q4-Q3+1)</f>
        <v/>
      </c>
      <c r="R2" s="5" t="str">
        <f aca="false">IF(R3="","",R4-R3+1)</f>
        <v/>
      </c>
      <c r="S2" s="5" t="str">
        <f aca="false">IF(S3="","",S4-S3+1)</f>
        <v/>
      </c>
      <c r="T2" s="5" t="str">
        <f aca="false">IF(T3="","",T4-T3+1)</f>
        <v/>
      </c>
      <c r="U2" s="5" t="str">
        <f aca="false">IF(U3="","",U4-U3+1)</f>
        <v/>
      </c>
      <c r="V2" s="5" t="str">
        <f aca="false">IF(V3="","",V4-V3+1)</f>
        <v/>
      </c>
      <c r="W2" s="5" t="str">
        <f aca="false">IF(W3="","",W4-W3+1)</f>
        <v/>
      </c>
      <c r="X2" s="5" t="str">
        <f aca="false">IF(X3="","",X4-X3+1)</f>
        <v/>
      </c>
      <c r="Y2" s="5" t="str">
        <f aca="false">IF(Y3="","",Y4-Y3+1)</f>
        <v/>
      </c>
      <c r="Z2" s="5" t="str">
        <f aca="false">IF(Z3="","",Z4-Z3+1)</f>
        <v/>
      </c>
      <c r="AA2" s="5" t="str">
        <f aca="false">IF(AA3="","",AA4-AA3+1)</f>
        <v/>
      </c>
      <c r="AB2" s="5" t="str">
        <f aca="false">IF(AB3="","",AB4-AB3+1)</f>
        <v/>
      </c>
      <c r="AC2" s="5" t="str">
        <f aca="false">IF(AC3="","",AC4-AC3+1)</f>
        <v/>
      </c>
      <c r="AD2" s="5" t="str">
        <f aca="false">IF(AD3="","",AD4-AD3+1)</f>
        <v/>
      </c>
      <c r="AE2" s="5" t="str">
        <f aca="false">IF(AE3="","",AE4-AE3+1)</f>
        <v/>
      </c>
      <c r="AF2" s="5" t="str">
        <f aca="false">IF(AF3="","",AF4-AF3+1)</f>
        <v/>
      </c>
      <c r="AG2" s="5" t="str">
        <f aca="false">IF(AG3="","",AG4-AG3+1)</f>
        <v/>
      </c>
      <c r="AH2" s="5" t="str">
        <f aca="false">IF(AH3="","",AH4-AH3+1)</f>
        <v/>
      </c>
      <c r="AI2" s="5" t="str">
        <f aca="false">IF(AI3="","",AI4-AI3+1)</f>
        <v/>
      </c>
      <c r="AJ2" s="5" t="str">
        <f aca="false">IF(AJ3="","",AJ4-AJ3+1)</f>
        <v/>
      </c>
      <c r="AK2" s="5" t="str">
        <f aca="false">IF(AK3="","",AK4-AK3+1)</f>
        <v/>
      </c>
    </row>
    <row r="3" customFormat="false" ht="15" hidden="false" customHeight="false" outlineLevel="0" collapsed="false">
      <c r="A3" s="6" t="s">
        <v>10</v>
      </c>
      <c r="C3" s="7" t="s">
        <v>11</v>
      </c>
      <c r="D3" s="8" t="n">
        <v>3</v>
      </c>
      <c r="G3" s="0" t="s">
        <v>12</v>
      </c>
      <c r="H3" s="9" t="n">
        <v>10101</v>
      </c>
      <c r="I3" s="9" t="n">
        <v>10201</v>
      </c>
      <c r="J3" s="9" t="n">
        <v>12101</v>
      </c>
      <c r="K3" s="9" t="n">
        <v>12201</v>
      </c>
      <c r="L3" s="9" t="n">
        <v>10101</v>
      </c>
      <c r="M3" s="9" t="n">
        <v>10201</v>
      </c>
      <c r="N3" s="9" t="n">
        <v>9101</v>
      </c>
      <c r="O3" s="9" t="n">
        <v>9201</v>
      </c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</row>
    <row r="4" customFormat="false" ht="15.75" hidden="false" customHeight="false" outlineLevel="0" collapsed="false">
      <c r="A4" s="6" t="s">
        <v>13</v>
      </c>
      <c r="C4" s="10" t="s">
        <v>14</v>
      </c>
      <c r="D4" s="11" t="n">
        <v>4</v>
      </c>
      <c r="E4" s="12"/>
      <c r="F4" s="12"/>
      <c r="G4" s="0" t="s">
        <v>15</v>
      </c>
      <c r="H4" s="6" t="n">
        <v>10141</v>
      </c>
      <c r="I4" s="6" t="n">
        <v>10242</v>
      </c>
      <c r="J4" s="6" t="n">
        <v>12135</v>
      </c>
      <c r="K4" s="6" t="n">
        <v>12220</v>
      </c>
      <c r="L4" s="6" t="n">
        <v>10139</v>
      </c>
      <c r="M4" s="6" t="n">
        <v>10239</v>
      </c>
      <c r="N4" s="6" t="n">
        <v>9140</v>
      </c>
      <c r="O4" s="6" t="n">
        <v>9239</v>
      </c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</row>
    <row r="5" customFormat="false" ht="30" hidden="false" customHeight="true" outlineLevel="0" collapsed="false">
      <c r="A5" s="6" t="s">
        <v>5</v>
      </c>
      <c r="C5" s="13" t="s">
        <v>16</v>
      </c>
      <c r="D5" s="14" t="n">
        <f aca="false">D3*D4</f>
        <v>12</v>
      </c>
      <c r="E5" s="15" t="s">
        <v>17</v>
      </c>
      <c r="F5" s="16" t="n">
        <v>10</v>
      </c>
    </row>
    <row r="6" customFormat="false" ht="30" hidden="false" customHeight="true" outlineLevel="0" collapsed="false">
      <c r="A6" s="6" t="s">
        <v>6</v>
      </c>
      <c r="C6" s="13" t="s">
        <v>18</v>
      </c>
      <c r="D6" s="14" t="n">
        <f aca="false">A2*D5</f>
        <v>396</v>
      </c>
      <c r="E6" s="17" t="s">
        <v>19</v>
      </c>
      <c r="F6" s="18" t="n">
        <f aca="false">F5*A2</f>
        <v>330</v>
      </c>
    </row>
    <row r="7" customFormat="false" ht="30" hidden="false" customHeight="true" outlineLevel="0" collapsed="false">
      <c r="A7" s="6" t="s">
        <v>7</v>
      </c>
      <c r="C7" s="13" t="s">
        <v>20</v>
      </c>
      <c r="D7" s="14" t="n">
        <f aca="false">COUNTA(H3:AK3)</f>
        <v>8</v>
      </c>
      <c r="E7" s="19"/>
      <c r="F7" s="20"/>
    </row>
    <row r="8" customFormat="false" ht="30" hidden="false" customHeight="true" outlineLevel="0" collapsed="false">
      <c r="A8" s="6" t="s">
        <v>8</v>
      </c>
      <c r="C8" s="13" t="s">
        <v>21</v>
      </c>
      <c r="D8" s="14" t="n">
        <f aca="false">SUM(H2:AK2)</f>
        <v>295</v>
      </c>
      <c r="E8" s="21"/>
      <c r="F8" s="18"/>
    </row>
    <row r="9" customFormat="false" ht="30" hidden="false" customHeight="true" outlineLevel="0" collapsed="false">
      <c r="A9" s="6" t="s">
        <v>22</v>
      </c>
      <c r="C9" s="13" t="s">
        <v>23</v>
      </c>
      <c r="D9" s="22" t="str">
        <f aca="false">IF(D8/D5 &lt;A2,"Sufficient rooms available","Not Sufficient")</f>
        <v>Sufficient rooms available</v>
      </c>
      <c r="E9" s="23" t="s">
        <v>24</v>
      </c>
      <c r="F9" s="24" t="str">
        <f aca="false">IF(F5=0,"NO LIMIT per class",IF(F6&gt;=D8,"Sufficient rooms available","Not Sufficient"))</f>
        <v>Sufficient rooms available</v>
      </c>
      <c r="J9" s="25"/>
    </row>
    <row r="10" customFormat="false" ht="30" hidden="false" customHeight="true" outlineLevel="0" collapsed="false">
      <c r="A10" s="6" t="s">
        <v>25</v>
      </c>
      <c r="C10" s="13" t="s">
        <v>26</v>
      </c>
      <c r="D10" s="14" t="n">
        <f aca="false">IF(F5=0,ROUNDUP(D8/D5,0),ROUNDUP(D8/F5,0))</f>
        <v>30</v>
      </c>
    </row>
    <row r="11" customFormat="false" ht="15" hidden="false" customHeight="false" outlineLevel="0" collapsed="false">
      <c r="A11" s="6" t="s">
        <v>27</v>
      </c>
    </row>
    <row r="12" customFormat="false" ht="15" hidden="false" customHeight="false" outlineLevel="0" collapsed="false">
      <c r="A12" s="6" t="s">
        <v>28</v>
      </c>
      <c r="C12" s="26" t="s">
        <v>29</v>
      </c>
      <c r="D12" s="27" t="s">
        <v>30</v>
      </c>
    </row>
    <row r="13" customFormat="false" ht="15" hidden="false" customHeight="false" outlineLevel="0" collapsed="false">
      <c r="A13" s="6" t="s">
        <v>31</v>
      </c>
      <c r="C13" s="26" t="s">
        <v>32</v>
      </c>
      <c r="D13" s="27" t="s">
        <v>33</v>
      </c>
    </row>
    <row r="14" customFormat="false" ht="15" hidden="false" customHeight="false" outlineLevel="0" collapsed="false">
      <c r="A14" s="6" t="s">
        <v>34</v>
      </c>
    </row>
    <row r="15" customFormat="false" ht="15" hidden="false" customHeight="false" outlineLevel="0" collapsed="false">
      <c r="A15" s="6" t="s">
        <v>35</v>
      </c>
    </row>
    <row r="16" customFormat="false" ht="15" hidden="false" customHeight="false" outlineLevel="0" collapsed="false">
      <c r="A16" s="6" t="s">
        <v>36</v>
      </c>
    </row>
    <row r="17" customFormat="false" ht="15" hidden="false" customHeight="false" outlineLevel="0" collapsed="false">
      <c r="A17" s="6" t="s">
        <v>37</v>
      </c>
    </row>
    <row r="18" customFormat="false" ht="15" hidden="false" customHeight="false" outlineLevel="0" collapsed="false">
      <c r="A18" s="6" t="s">
        <v>38</v>
      </c>
    </row>
    <row r="19" customFormat="false" ht="15" hidden="false" customHeight="false" outlineLevel="0" collapsed="false">
      <c r="A19" s="6" t="s">
        <v>39</v>
      </c>
    </row>
    <row r="20" customFormat="false" ht="15" hidden="false" customHeight="false" outlineLevel="0" collapsed="false">
      <c r="A20" s="6" t="s">
        <v>40</v>
      </c>
    </row>
    <row r="21" customFormat="false" ht="15" hidden="false" customHeight="false" outlineLevel="0" collapsed="false">
      <c r="A21" s="6" t="s">
        <v>41</v>
      </c>
    </row>
    <row r="22" customFormat="false" ht="15" hidden="false" customHeight="false" outlineLevel="0" collapsed="false">
      <c r="A22" s="6" t="s">
        <v>42</v>
      </c>
    </row>
    <row r="23" customFormat="false" ht="15" hidden="false" customHeight="false" outlineLevel="0" collapsed="false">
      <c r="A23" s="6" t="s">
        <v>43</v>
      </c>
    </row>
    <row r="24" customFormat="false" ht="15" hidden="false" customHeight="false" outlineLevel="0" collapsed="false">
      <c r="A24" s="6" t="s">
        <v>44</v>
      </c>
    </row>
    <row r="25" customFormat="false" ht="15" hidden="false" customHeight="false" outlineLevel="0" collapsed="false">
      <c r="A25" s="6" t="s">
        <v>45</v>
      </c>
    </row>
    <row r="26" customFormat="false" ht="15" hidden="false" customHeight="false" outlineLevel="0" collapsed="false">
      <c r="A26" s="6" t="s">
        <v>46</v>
      </c>
    </row>
    <row r="27" customFormat="false" ht="15" hidden="false" customHeight="false" outlineLevel="0" collapsed="false">
      <c r="A27" s="6" t="s">
        <v>47</v>
      </c>
    </row>
    <row r="28" customFormat="false" ht="15" hidden="false" customHeight="false" outlineLevel="0" collapsed="false">
      <c r="A28" s="6" t="s">
        <v>48</v>
      </c>
    </row>
    <row r="29" customFormat="false" ht="15" hidden="false" customHeight="false" outlineLevel="0" collapsed="false">
      <c r="A29" s="6" t="s">
        <v>49</v>
      </c>
    </row>
    <row r="30" customFormat="false" ht="15" hidden="false" customHeight="false" outlineLevel="0" collapsed="false">
      <c r="A30" s="6" t="s">
        <v>50</v>
      </c>
    </row>
    <row r="31" customFormat="false" ht="15" hidden="false" customHeight="false" outlineLevel="0" collapsed="false">
      <c r="A31" s="6" t="s">
        <v>51</v>
      </c>
    </row>
    <row r="32" customFormat="false" ht="15" hidden="false" customHeight="false" outlineLevel="0" collapsed="false">
      <c r="A32" s="6" t="s">
        <v>52</v>
      </c>
    </row>
    <row r="33" customFormat="false" ht="15" hidden="false" customHeight="false" outlineLevel="0" collapsed="false">
      <c r="A33" s="6" t="s">
        <v>53</v>
      </c>
    </row>
    <row r="34" customFormat="false" ht="15" hidden="false" customHeight="false" outlineLevel="0" collapsed="false">
      <c r="A34" s="6" t="s">
        <v>54</v>
      </c>
    </row>
    <row r="35" customFormat="false" ht="15" hidden="false" customHeight="false" outlineLevel="0" collapsed="false">
      <c r="A35" s="6" t="s">
        <v>55</v>
      </c>
    </row>
    <row r="36" customFormat="false" ht="15" hidden="false" customHeight="false" outlineLevel="0" collapsed="false">
      <c r="A36" s="6"/>
    </row>
    <row r="37" customFormat="false" ht="15" hidden="false" customHeight="false" outlineLevel="0" collapsed="false">
      <c r="A37" s="6"/>
    </row>
    <row r="38" customFormat="false" ht="15" hidden="false" customHeight="false" outlineLevel="0" collapsed="false">
      <c r="A38" s="6"/>
    </row>
    <row r="39" customFormat="false" ht="15" hidden="false" customHeight="false" outlineLevel="0" collapsed="false">
      <c r="A39" s="6"/>
    </row>
    <row r="40" customFormat="false" ht="15" hidden="false" customHeight="false" outlineLevel="0" collapsed="false">
      <c r="A40" s="6"/>
    </row>
    <row r="41" customFormat="false" ht="15" hidden="false" customHeight="false" outlineLevel="0" collapsed="false">
      <c r="A41" s="6"/>
    </row>
    <row r="42" customFormat="false" ht="15" hidden="false" customHeight="false" outlineLevel="0" collapsed="false">
      <c r="A42" s="6"/>
    </row>
    <row r="43" customFormat="false" ht="15" hidden="false" customHeight="false" outlineLevel="0" collapsed="false">
      <c r="A43" s="6"/>
    </row>
    <row r="44" customFormat="false" ht="15" hidden="false" customHeight="false" outlineLevel="0" collapsed="false">
      <c r="A44" s="6"/>
    </row>
    <row r="45" customFormat="false" ht="15" hidden="false" customHeight="false" outlineLevel="0" collapsed="false">
      <c r="A45" s="6"/>
    </row>
    <row r="46" customFormat="false" ht="15" hidden="false" customHeight="false" outlineLevel="0" collapsed="false">
      <c r="A46" s="6"/>
    </row>
    <row r="47" customFormat="false" ht="15" hidden="false" customHeight="false" outlineLevel="0" collapsed="false">
      <c r="A47" s="6"/>
    </row>
    <row r="48" customFormat="false" ht="15" hidden="false" customHeight="false" outlineLevel="0" collapsed="false">
      <c r="A48" s="6"/>
    </row>
    <row r="49" customFormat="false" ht="15" hidden="false" customHeight="false" outlineLevel="0" collapsed="false">
      <c r="A49" s="6"/>
    </row>
    <row r="50" customFormat="false" ht="15" hidden="false" customHeight="false" outlineLevel="0" collapsed="false">
      <c r="A50" s="6"/>
    </row>
    <row r="51" customFormat="false" ht="15" hidden="false" customHeight="false" outlineLevel="0" collapsed="false">
      <c r="A51" s="6"/>
    </row>
    <row r="52" customFormat="false" ht="15" hidden="false" customHeight="false" outlineLevel="0" collapsed="false">
      <c r="A52" s="6"/>
    </row>
    <row r="53" customFormat="false" ht="15" hidden="false" customHeight="false" outlineLevel="0" collapsed="false">
      <c r="A53" s="6"/>
    </row>
    <row r="54" customFormat="false" ht="15" hidden="false" customHeight="false" outlineLevel="0" collapsed="false">
      <c r="A54" s="6"/>
    </row>
    <row r="55" customFormat="false" ht="15" hidden="false" customHeight="false" outlineLevel="0" collapsed="false">
      <c r="A55" s="6"/>
    </row>
    <row r="56" customFormat="false" ht="15" hidden="false" customHeight="false" outlineLevel="0" collapsed="false">
      <c r="A56" s="6"/>
    </row>
    <row r="57" customFormat="false" ht="15" hidden="false" customHeight="false" outlineLevel="0" collapsed="false">
      <c r="A57" s="6"/>
    </row>
    <row r="58" customFormat="false" ht="15" hidden="false" customHeight="false" outlineLevel="0" collapsed="false">
      <c r="A58" s="6"/>
    </row>
    <row r="59" customFormat="false" ht="15" hidden="false" customHeight="false" outlineLevel="0" collapsed="false">
      <c r="A59" s="6"/>
    </row>
    <row r="60" customFormat="false" ht="15" hidden="false" customHeight="false" outlineLevel="0" collapsed="false">
      <c r="A60" s="6"/>
    </row>
  </sheetData>
  <sheetProtection sheet="true" objects="true" scenarios="true"/>
  <dataValidations count="2">
    <dataValidation allowBlank="true" operator="lessThan" showDropDown="false" showErrorMessage="true" showInputMessage="true" sqref="F5" type="whole">
      <formula1>D5</formula1>
      <formula2>0</formula2>
    </dataValidation>
    <dataValidation allowBlank="true" error="Positive Integer daal de KHAPITAR!!!" errorTitle="Positive Integer" operator="greaterThan" prompt="Roll Number must be a Positive Integeer" promptTitle="Roll No" showDropDown="false" showErrorMessage="true" showInputMessage="true" sqref="H3:AK3" type="whole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2" activeCellId="0" sqref="B32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" activeCellId="0" sqref="A4"/>
    </sheetView>
  </sheetViews>
  <sheetFormatPr defaultRowHeight="15" zeroHeight="false" outlineLevelRow="0" outlineLevelCol="0"/>
  <cols>
    <col collapsed="false" customWidth="true" hidden="false" outlineLevel="0" max="1" min="1" style="0" width="7.28"/>
    <col collapsed="false" customWidth="true" hidden="false" outlineLevel="0" max="2" min="2" style="0" width="15.57"/>
    <col collapsed="false" customWidth="true" hidden="false" outlineLevel="0" max="8" min="3" style="0" width="7.28"/>
    <col collapsed="false" customWidth="true" hidden="false" outlineLevel="0" max="1025" min="9" style="0" width="8.53"/>
  </cols>
  <sheetData>
    <row r="1" customFormat="false" ht="35.1" hidden="false" customHeight="true" outlineLevel="0" collapsed="false">
      <c r="A1" s="28" t="s">
        <v>56</v>
      </c>
      <c r="B1" s="29" t="n">
        <v>44290.5210069444</v>
      </c>
      <c r="D1" s="30"/>
      <c r="F1" s="30"/>
      <c r="H1" s="30"/>
    </row>
    <row r="2" customFormat="false" ht="35.1" hidden="false" customHeight="true" outlineLevel="0" collapsed="false">
      <c r="A2" s="30" t="s">
        <v>57</v>
      </c>
      <c r="B2" s="31" t="n">
        <v>44290.521099537</v>
      </c>
      <c r="C2" s="30"/>
      <c r="E2" s="30"/>
      <c r="G2" s="30"/>
    </row>
    <row r="3" customFormat="false" ht="35.1" hidden="false" customHeight="true" outlineLevel="0" collapsed="false">
      <c r="A3" s="0" t="s">
        <v>58</v>
      </c>
      <c r="B3" s="29" t="n">
        <v>44290.5212962963</v>
      </c>
      <c r="D3" s="30"/>
      <c r="F3" s="30"/>
      <c r="H3" s="30"/>
    </row>
    <row r="4" customFormat="false" ht="35.1" hidden="false" customHeight="true" outlineLevel="0" collapsed="false">
      <c r="A4" s="30" t="s">
        <v>59</v>
      </c>
      <c r="B4" s="31" t="n">
        <v>44290.5211805556</v>
      </c>
      <c r="C4" s="30"/>
      <c r="E4" s="30"/>
      <c r="G4" s="30"/>
    </row>
    <row r="5" customFormat="false" ht="35.1" hidden="false" customHeight="true" outlineLevel="0" collapsed="false">
      <c r="A5" s="0" t="s">
        <v>60</v>
      </c>
      <c r="B5" s="29" t="n">
        <v>44290.5212384259</v>
      </c>
      <c r="D5" s="30"/>
      <c r="F5" s="30"/>
      <c r="H5" s="30"/>
      <c r="I5" s="0" t="s">
        <v>61</v>
      </c>
      <c r="J5" s="0" t="s">
        <v>62</v>
      </c>
      <c r="N5" s="0" t="s">
        <v>61</v>
      </c>
    </row>
    <row r="6" customFormat="false" ht="35.1" hidden="false" customHeight="true" outlineLevel="0" collapsed="false">
      <c r="A6" s="30"/>
      <c r="C6" s="30"/>
      <c r="E6" s="30"/>
      <c r="G6" s="30"/>
      <c r="I6" s="0" t="s">
        <v>61</v>
      </c>
      <c r="N6" s="0" t="s">
        <v>61</v>
      </c>
    </row>
    <row r="7" customFormat="false" ht="35.1" hidden="false" customHeight="true" outlineLevel="0" collapsed="false">
      <c r="B7" s="30"/>
      <c r="D7" s="30"/>
      <c r="F7" s="30"/>
      <c r="H7" s="30"/>
    </row>
    <row r="8" customFormat="false" ht="35.1" hidden="false" customHeight="true" outlineLevel="0" collapsed="false">
      <c r="A8" s="30"/>
      <c r="C8" s="30"/>
      <c r="E8" s="30"/>
      <c r="G8" s="30"/>
    </row>
    <row r="11" customFormat="false" ht="15" hidden="false" customHeight="false" outlineLevel="0" collapsed="false">
      <c r="G11" s="0" t="s">
        <v>63</v>
      </c>
    </row>
    <row r="12" customFormat="false" ht="15" hidden="false" customHeight="false" outlineLevel="0" collapsed="false">
      <c r="G12" s="0" t="s">
        <v>63</v>
      </c>
    </row>
    <row r="13" customFormat="false" ht="15" hidden="false" customHeight="false" outlineLevel="0" collapsed="false">
      <c r="G13" s="0" t="s">
        <v>64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1:K5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G3" activeCellId="0" sqref="G3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>
    <row r="1" customFormat="false" ht="15" hidden="false" customHeight="false" outlineLevel="0" collapsed="false">
      <c r="H1" s="3" t="s">
        <v>1</v>
      </c>
      <c r="I1" s="3" t="s">
        <v>2</v>
      </c>
      <c r="J1" s="3" t="s">
        <v>3</v>
      </c>
      <c r="K1" s="3" t="s">
        <v>4</v>
      </c>
    </row>
    <row r="2" customFormat="false" ht="15" hidden="false" customHeight="false" outlineLevel="0" collapsed="false">
      <c r="D2" s="0" t="s">
        <v>65</v>
      </c>
      <c r="E2" s="0" t="n">
        <f aca="false">COUNTA(H2:AU2)</f>
        <v>4</v>
      </c>
      <c r="H2" s="5" t="n">
        <f aca="false">H4-H3+1</f>
        <v>41</v>
      </c>
      <c r="I2" s="5" t="n">
        <f aca="false">I4-I3+1</f>
        <v>42</v>
      </c>
      <c r="J2" s="5" t="n">
        <f aca="false">J4-J3+1</f>
        <v>35</v>
      </c>
      <c r="K2" s="5" t="n">
        <f aca="false">K4-K3+1</f>
        <v>20</v>
      </c>
    </row>
    <row r="3" customFormat="false" ht="15" hidden="false" customHeight="false" outlineLevel="0" collapsed="false">
      <c r="G3" s="0" t="s">
        <v>12</v>
      </c>
      <c r="H3" s="0" t="n">
        <v>10101</v>
      </c>
      <c r="I3" s="0" t="n">
        <v>10201</v>
      </c>
      <c r="J3" s="0" t="n">
        <v>12101</v>
      </c>
      <c r="K3" s="0" t="n">
        <v>12201</v>
      </c>
    </row>
    <row r="4" customFormat="false" ht="15" hidden="false" customHeight="false" outlineLevel="0" collapsed="false">
      <c r="G4" s="0" t="s">
        <v>15</v>
      </c>
      <c r="H4" s="0" t="n">
        <v>10141</v>
      </c>
      <c r="I4" s="0" t="n">
        <v>10242</v>
      </c>
      <c r="J4" s="0" t="n">
        <v>12135</v>
      </c>
      <c r="K4" s="0" t="n">
        <v>12220</v>
      </c>
    </row>
    <row r="5" customFormat="false" ht="15" hidden="false" customHeight="false" outlineLevel="0" collapsed="false">
      <c r="C5" s="0" t="s">
        <v>66</v>
      </c>
      <c r="D5" s="0" t="n">
        <f aca="false">SUM(H2:K2)</f>
        <v>138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2021-04-03T17:20:17Z</dcterms:created>
  <dc:creator>Anusha;Janendra</dc:creator>
  <dc:description/>
  <dc:language>en-IN</dc:language>
  <cp:lastModifiedBy/>
  <cp:lastPrinted>2021-04-11T14:11:52Z</cp:lastPrinted>
  <dcterms:modified xsi:type="dcterms:W3CDTF">2021-07-18T21:00:49Z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