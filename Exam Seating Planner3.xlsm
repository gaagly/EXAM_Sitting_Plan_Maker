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usha\Documents\Experiment\"/>
    </mc:Choice>
  </mc:AlternateContent>
  <bookViews>
    <workbookView xWindow="0" yWindow="0" windowWidth="20490" windowHeight="9630" activeTab="1"/>
  </bookViews>
  <sheets>
    <sheet name="Sheet1" sheetId="1" r:id="rId1"/>
    <sheet name="Sheet2" sheetId="2" r:id="rId2"/>
    <sheet name="Sheet3" sheetId="3" r:id="rId3"/>
    <sheet name="Sheet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H2" i="1"/>
  <c r="F6" i="1"/>
  <c r="D7" i="1" l="1"/>
  <c r="E2" i="4"/>
  <c r="D5" i="4"/>
  <c r="K2" i="4"/>
  <c r="J2" i="4"/>
  <c r="I2" i="4"/>
  <c r="H2" i="4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>
  <authors>
    <author>Anusha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Default Value is zero. Input a whole number</t>
        </r>
      </text>
    </comment>
  </commentList>
</comments>
</file>

<file path=xl/sharedStrings.xml><?xml version="1.0" encoding="utf-8"?>
<sst xmlns="http://schemas.openxmlformats.org/spreadsheetml/2006/main" count="81" uniqueCount="67">
  <si>
    <t>Available Rooms</t>
  </si>
  <si>
    <t>Class 12S</t>
  </si>
  <si>
    <t>Class 11S</t>
  </si>
  <si>
    <t>Class 10A</t>
  </si>
  <si>
    <t>Class 10B</t>
  </si>
  <si>
    <t>Class 9A</t>
  </si>
  <si>
    <t>Class 9B</t>
  </si>
  <si>
    <t>Class 6A</t>
  </si>
  <si>
    <t>Class 6B</t>
  </si>
  <si>
    <t>Class 8A</t>
  </si>
  <si>
    <t>Class 8B</t>
  </si>
  <si>
    <t>Class 7A</t>
  </si>
  <si>
    <t>Class 7B</t>
  </si>
  <si>
    <t>Class 11C</t>
  </si>
  <si>
    <t>Class 12C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</si>
  <si>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</si>
  <si>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</si>
  <si>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</si>
  <si>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</si>
  <si>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</si>
  <si>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</si>
  <si>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</si>
  <si>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</si>
  <si>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</si>
  <si>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</si>
  <si>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</si>
  <si>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Class10A</t>
  </si>
  <si>
    <t>Class10B</t>
  </si>
  <si>
    <t>Class12A</t>
  </si>
  <si>
    <t>Class12B</t>
  </si>
  <si>
    <t>Exams taking classes</t>
  </si>
  <si>
    <t>Class room status</t>
  </si>
  <si>
    <t>Total Students</t>
  </si>
  <si>
    <t>School Name</t>
  </si>
  <si>
    <t>KV No2 MIRC AHMEDNAGAR</t>
  </si>
  <si>
    <t>EXAM NAME</t>
  </si>
  <si>
    <t>First Roll No</t>
  </si>
  <si>
    <t>Last Roll No</t>
  </si>
  <si>
    <t>Total Classes</t>
  </si>
  <si>
    <t>Hindi Lab</t>
  </si>
  <si>
    <t>SST. Lab</t>
  </si>
  <si>
    <t>Maths Lab</t>
  </si>
  <si>
    <t>NCC Room</t>
  </si>
  <si>
    <t>Class 1A</t>
  </si>
  <si>
    <t>Class 1B</t>
  </si>
  <si>
    <t>Class 1C</t>
  </si>
  <si>
    <t>Class 2A</t>
  </si>
  <si>
    <t>Class 2B</t>
  </si>
  <si>
    <t>Class 2C</t>
  </si>
  <si>
    <t>Class 3A</t>
  </si>
  <si>
    <t>Class 3B</t>
  </si>
  <si>
    <t>Class 3C</t>
  </si>
  <si>
    <t>Class 4A</t>
  </si>
  <si>
    <t>Class 4B</t>
  </si>
  <si>
    <t>Class 4C</t>
  </si>
  <si>
    <t>Class 5A</t>
  </si>
  <si>
    <t>Class 5B</t>
  </si>
  <si>
    <t>Class 5C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</si>
  <si>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</si>
  <si>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</si>
  <si>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</si>
  <si>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</si>
  <si>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</si>
  <si>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</si>
  <si>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SSE 2021-22</t>
  </si>
  <si>
    <t>Total Available SEATING Capacity</t>
  </si>
  <si>
    <t>Total Limited SEATING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</si>
</sst>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8</xdr:row>
          <xdr:rowOff>276225</xdr:rowOff>
        </xdr:from>
        <xdr:to>
          <xdr:col>11</xdr:col>
          <xdr:colOff>590550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/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60"/>
  <sheetViews>
    <sheetView workbookViewId="0">
      <selection activeCell="F5" sqref="F5"/>
    </sheetView>
  </sheetViews>
  <sheetFormatPr defaultRowHeight="15" x14ac:dyDescent="0.25"/>
  <cols>
    <col min="1" max="1" width="15.85546875" bestFit="1" customWidth="1"/>
    <col min="3" max="3" width="23.5703125" style="8" customWidth="1"/>
    <col min="4" max="4" width="16.85546875" customWidth="1"/>
    <col min="5" max="5" width="18" customWidth="1"/>
  </cols>
  <sheetData>
    <row r="1" spans="1:37" s="5" customFormat="1" ht="15.75" thickBot="1" x14ac:dyDescent="0.3">
      <c r="A1" s="6" t="s">
        <v>0</v>
      </c>
      <c r="B1"/>
      <c r="C1" s="8"/>
      <c r="D1"/>
      <c r="E1"/>
      <c r="F1"/>
      <c r="G1"/>
      <c r="H1" s="13" t="s">
        <v>26</v>
      </c>
      <c r="I1" s="13" t="s">
        <v>27</v>
      </c>
      <c r="J1" s="13" t="s">
        <v>28</v>
      </c>
      <c r="K1" s="13" t="s">
        <v>29</v>
      </c>
      <c r="L1" s="13" t="s">
        <v>3</v>
      </c>
      <c r="M1" s="13" t="s">
        <v>4</v>
      </c>
      <c r="N1" s="13" t="s">
        <v>5</v>
      </c>
      <c r="O1" s="13" t="s">
        <v>6</v>
      </c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</row>
    <row r="2" spans="1:37" s="7" customFormat="1" ht="15.75" thickBot="1" x14ac:dyDescent="0.3">
      <c r="A2" s="7">
        <f>COUNTA(A3:A60)</f>
        <v>33</v>
      </c>
      <c r="B2"/>
      <c r="C2" s="8"/>
      <c r="D2"/>
      <c r="E2"/>
      <c r="F2"/>
      <c r="G2" t="s">
        <v>62</v>
      </c>
      <c r="H2" s="7">
        <f>IF(H3="","",H4-H3+1)</f>
        <v>41</v>
      </c>
      <c r="I2" s="7">
        <f t="shared" ref="I2:AK2" si="0">IF(I3="","",I4-I3+1)</f>
        <v>42</v>
      </c>
      <c r="J2" s="7">
        <f t="shared" si="0"/>
        <v>35</v>
      </c>
      <c r="K2" s="7">
        <f t="shared" si="0"/>
        <v>20</v>
      </c>
      <c r="L2" s="7">
        <f t="shared" si="0"/>
        <v>39</v>
      </c>
      <c r="M2" s="7">
        <f t="shared" si="0"/>
        <v>39</v>
      </c>
      <c r="N2" s="7">
        <f t="shared" si="0"/>
        <v>40</v>
      </c>
      <c r="O2" s="7">
        <f t="shared" si="0"/>
        <v>39</v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37" x14ac:dyDescent="0.25">
      <c r="A3" s="11" t="s">
        <v>1</v>
      </c>
      <c r="C3" s="22" t="s">
        <v>24</v>
      </c>
      <c r="D3" s="17">
        <v>3</v>
      </c>
      <c r="G3" t="s">
        <v>36</v>
      </c>
      <c r="H3" s="11">
        <v>10101</v>
      </c>
      <c r="I3" s="11">
        <v>10201</v>
      </c>
      <c r="J3" s="11">
        <v>12101</v>
      </c>
      <c r="K3" s="11">
        <v>12201</v>
      </c>
      <c r="L3" s="11">
        <v>10101</v>
      </c>
      <c r="M3" s="11">
        <v>10201</v>
      </c>
      <c r="N3" s="11">
        <v>9101</v>
      </c>
      <c r="O3" s="11">
        <v>9201</v>
      </c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ht="15.75" thickBot="1" x14ac:dyDescent="0.3">
      <c r="A4" s="11" t="s">
        <v>2</v>
      </c>
      <c r="C4" s="23" t="s">
        <v>25</v>
      </c>
      <c r="D4" s="18">
        <v>4</v>
      </c>
      <c r="E4" s="10"/>
      <c r="F4" s="10"/>
      <c r="G4" t="s">
        <v>37</v>
      </c>
      <c r="H4" s="11">
        <v>10141</v>
      </c>
      <c r="I4" s="11">
        <v>10242</v>
      </c>
      <c r="J4" s="11">
        <v>12135</v>
      </c>
      <c r="K4" s="11">
        <v>12220</v>
      </c>
      <c r="L4" s="11">
        <v>10139</v>
      </c>
      <c r="M4" s="11">
        <v>10239</v>
      </c>
      <c r="N4" s="11">
        <v>9140</v>
      </c>
      <c r="O4" s="11">
        <v>9239</v>
      </c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ht="30" customHeight="1" x14ac:dyDescent="0.25">
      <c r="A5" s="11" t="s">
        <v>3</v>
      </c>
      <c r="C5" s="24" t="s">
        <v>59</v>
      </c>
      <c r="D5" s="19">
        <f>D3*D4</f>
        <v>12</v>
      </c>
      <c r="E5" s="26" t="s">
        <v>60</v>
      </c>
      <c r="F5" s="12">
        <v>10</v>
      </c>
    </row>
    <row r="6" spans="1:37" ht="30" customHeight="1" x14ac:dyDescent="0.25">
      <c r="A6" s="11" t="s">
        <v>4</v>
      </c>
      <c r="C6" s="24" t="s">
        <v>65</v>
      </c>
      <c r="D6" s="19">
        <f>A2*D5</f>
        <v>396</v>
      </c>
      <c r="E6" s="27" t="s">
        <v>66</v>
      </c>
      <c r="F6" s="14">
        <f>F5*A2</f>
        <v>330</v>
      </c>
    </row>
    <row r="7" spans="1:37" ht="30" customHeight="1" x14ac:dyDescent="0.25">
      <c r="A7" s="11" t="s">
        <v>5</v>
      </c>
      <c r="C7" s="24" t="s">
        <v>30</v>
      </c>
      <c r="D7" s="19">
        <f>COUNTA(H3:AK3)</f>
        <v>8</v>
      </c>
      <c r="E7" s="28"/>
      <c r="F7" s="15"/>
    </row>
    <row r="8" spans="1:37" ht="30" customHeight="1" x14ac:dyDescent="0.25">
      <c r="A8" s="11" t="s">
        <v>6</v>
      </c>
      <c r="C8" s="24" t="s">
        <v>58</v>
      </c>
      <c r="D8" s="19">
        <f>SUM(H2:AK2)</f>
        <v>295</v>
      </c>
      <c r="E8" s="29"/>
      <c r="F8" s="14"/>
    </row>
    <row r="9" spans="1:37" ht="30" customHeight="1" thickBot="1" x14ac:dyDescent="0.3">
      <c r="A9" s="11" t="s">
        <v>13</v>
      </c>
      <c r="C9" s="24" t="s">
        <v>31</v>
      </c>
      <c r="D9" s="20" t="str">
        <f>IF(D8/D5 &lt;A2,"Sufficient rooms available","Not Sufficient")</f>
        <v>Sufficient rooms available</v>
      </c>
      <c r="E9" s="30" t="s">
        <v>61</v>
      </c>
      <c r="F9" s="16" t="str">
        <f>IF(F5=0,"NO LIMIT per class",IF(F6&gt;=D8,"Sufficient rooms available","Not Sufficient"))</f>
        <v>Sufficient rooms available</v>
      </c>
      <c r="J9" s="9"/>
    </row>
    <row r="10" spans="1:37" ht="30" customHeight="1" x14ac:dyDescent="0.25">
      <c r="A10" s="11" t="s">
        <v>14</v>
      </c>
      <c r="C10" s="24" t="s">
        <v>63</v>
      </c>
      <c r="D10" s="19">
        <f>IF(F5=0,ROUNDUP(D8/D5,0),ROUNDUP(D8/F5,0))</f>
        <v>30</v>
      </c>
    </row>
    <row r="11" spans="1:37" x14ac:dyDescent="0.25">
      <c r="A11" s="11" t="s">
        <v>9</v>
      </c>
    </row>
    <row r="12" spans="1:37" x14ac:dyDescent="0.25">
      <c r="A12" s="11" t="s">
        <v>10</v>
      </c>
      <c r="C12" s="25" t="s">
        <v>33</v>
      </c>
      <c r="D12" s="21" t="s">
        <v>34</v>
      </c>
    </row>
    <row r="13" spans="1:37" x14ac:dyDescent="0.25">
      <c r="A13" s="11" t="s">
        <v>11</v>
      </c>
      <c r="C13" s="25" t="s">
        <v>35</v>
      </c>
      <c r="D13" s="21" t="s">
        <v>64</v>
      </c>
    </row>
    <row r="14" spans="1:37" x14ac:dyDescent="0.25">
      <c r="A14" s="11" t="s">
        <v>12</v>
      </c>
    </row>
    <row r="15" spans="1:37" x14ac:dyDescent="0.25">
      <c r="A15" s="11" t="s">
        <v>7</v>
      </c>
    </row>
    <row r="16" spans="1:37" x14ac:dyDescent="0.25">
      <c r="A16" s="11" t="s">
        <v>8</v>
      </c>
    </row>
    <row r="17" spans="1:1" x14ac:dyDescent="0.25">
      <c r="A17" s="11" t="s">
        <v>39</v>
      </c>
    </row>
    <row r="18" spans="1:1" x14ac:dyDescent="0.25">
      <c r="A18" s="11" t="s">
        <v>40</v>
      </c>
    </row>
    <row r="19" spans="1:1" x14ac:dyDescent="0.25">
      <c r="A19" s="11" t="s">
        <v>41</v>
      </c>
    </row>
    <row r="20" spans="1:1" x14ac:dyDescent="0.25">
      <c r="A20" s="11" t="s">
        <v>42</v>
      </c>
    </row>
    <row r="21" spans="1:1" x14ac:dyDescent="0.25">
      <c r="A21" s="11" t="s">
        <v>43</v>
      </c>
    </row>
    <row r="22" spans="1:1" x14ac:dyDescent="0.25">
      <c r="A22" s="11" t="s">
        <v>44</v>
      </c>
    </row>
    <row r="23" spans="1:1" x14ac:dyDescent="0.25">
      <c r="A23" s="11" t="s">
        <v>45</v>
      </c>
    </row>
    <row r="24" spans="1:1" x14ac:dyDescent="0.25">
      <c r="A24" s="11" t="s">
        <v>46</v>
      </c>
    </row>
    <row r="25" spans="1:1" x14ac:dyDescent="0.25">
      <c r="A25" s="11" t="s">
        <v>47</v>
      </c>
    </row>
    <row r="26" spans="1:1" x14ac:dyDescent="0.25">
      <c r="A26" s="11" t="s">
        <v>48</v>
      </c>
    </row>
    <row r="27" spans="1:1" x14ac:dyDescent="0.25">
      <c r="A27" s="11" t="s">
        <v>49</v>
      </c>
    </row>
    <row r="28" spans="1:1" x14ac:dyDescent="0.25">
      <c r="A28" s="11" t="s">
        <v>50</v>
      </c>
    </row>
    <row r="29" spans="1:1" x14ac:dyDescent="0.25">
      <c r="A29" s="11" t="s">
        <v>51</v>
      </c>
    </row>
    <row r="30" spans="1:1" x14ac:dyDescent="0.25">
      <c r="A30" s="11" t="s">
        <v>52</v>
      </c>
    </row>
    <row r="31" spans="1:1" x14ac:dyDescent="0.25">
      <c r="A31" s="11" t="s">
        <v>53</v>
      </c>
    </row>
    <row r="32" spans="1:1" x14ac:dyDescent="0.25">
      <c r="A32" s="11" t="s">
        <v>54</v>
      </c>
    </row>
    <row r="33" spans="1:1" x14ac:dyDescent="0.25">
      <c r="A33" s="11" t="s">
        <v>55</v>
      </c>
    </row>
    <row r="34" spans="1:1" x14ac:dyDescent="0.25">
      <c r="A34" s="11" t="s">
        <v>56</v>
      </c>
    </row>
    <row r="35" spans="1:1" x14ac:dyDescent="0.25">
      <c r="A35" s="11" t="s">
        <v>57</v>
      </c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</sheetData>
  <sheetProtection sheet="1" objects="1" scenarios="1"/>
  <dataValidations count="2">
    <dataValidation type="whole" operator="lessThan" allowBlank="1" showInputMessage="1" showErrorMessage="1" sqref="F5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514350</xdr:colOff>
                    <xdr:row>8</xdr:row>
                    <xdr:rowOff>276225</xdr:rowOff>
                  </from>
                  <to>
                    <xdr:col>11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topLeftCell="A8" workbookViewId="0">
      <selection activeCell="B32" sqref="A1:XFD104857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3"/>
  <sheetViews>
    <sheetView workbookViewId="0">
      <selection activeCell="A4" sqref="A4"/>
    </sheetView>
  </sheetViews>
  <sheetFormatPr defaultRowHeight="15" x14ac:dyDescent="0.25"/>
  <cols>
    <col min="1" max="1" width="7.28515625" customWidth="1"/>
    <col min="2" max="2" width="15.5703125" bestFit="1" customWidth="1"/>
    <col min="3" max="8" width="7.28515625" customWidth="1"/>
  </cols>
  <sheetData>
    <row r="1" spans="1:14" ht="35.1" customHeight="1" x14ac:dyDescent="0.25">
      <c r="A1" s="1" t="s">
        <v>15</v>
      </c>
      <c r="B1" s="3">
        <v>44290.521006944444</v>
      </c>
      <c r="D1" s="2"/>
      <c r="F1" s="2"/>
      <c r="H1" s="2"/>
    </row>
    <row r="2" spans="1:14" ht="35.1" customHeight="1" x14ac:dyDescent="0.25">
      <c r="A2" s="2" t="s">
        <v>20</v>
      </c>
      <c r="B2" s="4">
        <v>44290.521099537036</v>
      </c>
      <c r="C2" s="2"/>
      <c r="E2" s="2"/>
      <c r="G2" s="2"/>
    </row>
    <row r="3" spans="1:14" ht="35.1" customHeight="1" x14ac:dyDescent="0.25">
      <c r="A3" t="s">
        <v>23</v>
      </c>
      <c r="B3" s="3">
        <v>44290.521296296298</v>
      </c>
      <c r="D3" s="2"/>
      <c r="F3" s="2"/>
      <c r="H3" s="2"/>
    </row>
    <row r="4" spans="1:14" ht="35.1" customHeight="1" x14ac:dyDescent="0.25">
      <c r="A4" s="2" t="s">
        <v>21</v>
      </c>
      <c r="B4" s="4">
        <v>44290.521180555559</v>
      </c>
      <c r="C4" s="2"/>
      <c r="E4" s="2"/>
      <c r="G4" s="2"/>
    </row>
    <row r="5" spans="1:14" ht="35.1" customHeight="1" x14ac:dyDescent="0.25">
      <c r="A5" t="s">
        <v>22</v>
      </c>
      <c r="B5" s="3">
        <v>44290.521238425928</v>
      </c>
      <c r="D5" s="2"/>
      <c r="F5" s="2"/>
      <c r="H5" s="2"/>
      <c r="I5" t="s">
        <v>16</v>
      </c>
      <c r="J5" t="s">
        <v>18</v>
      </c>
      <c r="N5" t="s">
        <v>16</v>
      </c>
    </row>
    <row r="6" spans="1:14" ht="35.1" customHeight="1" x14ac:dyDescent="0.25">
      <c r="A6" s="2"/>
      <c r="C6" s="2"/>
      <c r="E6" s="2"/>
      <c r="G6" s="2"/>
      <c r="I6" t="s">
        <v>16</v>
      </c>
      <c r="N6" t="s">
        <v>16</v>
      </c>
    </row>
    <row r="7" spans="1:14" ht="35.1" customHeight="1" x14ac:dyDescent="0.25">
      <c r="B7" s="2"/>
      <c r="D7" s="2"/>
      <c r="F7" s="2"/>
      <c r="H7" s="2"/>
    </row>
    <row r="8" spans="1:14" ht="35.1" customHeight="1" x14ac:dyDescent="0.25">
      <c r="A8" s="2"/>
      <c r="C8" s="2"/>
      <c r="E8" s="2"/>
      <c r="G8" s="2"/>
    </row>
    <row r="11" spans="1:14" x14ac:dyDescent="0.25">
      <c r="G11" t="s">
        <v>17</v>
      </c>
    </row>
    <row r="12" spans="1:14" x14ac:dyDescent="0.25">
      <c r="G12" t="s">
        <v>17</v>
      </c>
    </row>
    <row r="13" spans="1:14" x14ac:dyDescent="0.25">
      <c r="G13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K5"/>
  <sheetViews>
    <sheetView topLeftCell="C1" workbookViewId="0">
      <selection activeCell="G3" sqref="G3"/>
    </sheetView>
  </sheetViews>
  <sheetFormatPr defaultRowHeight="15" x14ac:dyDescent="0.25"/>
  <sheetData>
    <row r="1" spans="3:11" x14ac:dyDescent="0.25">
      <c r="H1" s="5" t="s">
        <v>26</v>
      </c>
      <c r="I1" s="5" t="s">
        <v>27</v>
      </c>
      <c r="J1" s="5" t="s">
        <v>28</v>
      </c>
      <c r="K1" s="5" t="s">
        <v>29</v>
      </c>
    </row>
    <row r="2" spans="3:11" x14ac:dyDescent="0.25">
      <c r="D2" t="s">
        <v>38</v>
      </c>
      <c r="E2">
        <f>COUNTA(H2:AU2)</f>
        <v>4</v>
      </c>
      <c r="H2" s="7">
        <f>H4-H3+1</f>
        <v>41</v>
      </c>
      <c r="I2" s="7">
        <f t="shared" ref="I2:K2" si="0">I4-I3+1</f>
        <v>42</v>
      </c>
      <c r="J2" s="7">
        <f t="shared" si="0"/>
        <v>35</v>
      </c>
      <c r="K2" s="7">
        <f t="shared" si="0"/>
        <v>20</v>
      </c>
    </row>
    <row r="3" spans="3:11" x14ac:dyDescent="0.25">
      <c r="G3" t="s">
        <v>36</v>
      </c>
      <c r="H3">
        <v>10101</v>
      </c>
      <c r="I3">
        <v>10201</v>
      </c>
      <c r="J3">
        <v>12101</v>
      </c>
      <c r="K3">
        <v>12201</v>
      </c>
    </row>
    <row r="4" spans="3:11" x14ac:dyDescent="0.25">
      <c r="G4" t="s">
        <v>37</v>
      </c>
      <c r="H4">
        <v>10141</v>
      </c>
      <c r="I4">
        <v>10242</v>
      </c>
      <c r="J4">
        <v>12135</v>
      </c>
      <c r="K4">
        <v>12220</v>
      </c>
    </row>
    <row r="5" spans="3:11" x14ac:dyDescent="0.25">
      <c r="C5" t="s">
        <v>32</v>
      </c>
      <c r="D5">
        <f>SUM(H2:K2)</f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Anusha</cp:lastModifiedBy>
  <cp:lastPrinted>2021-04-11T14:11:52Z</cp:lastPrinted>
  <dcterms:created xsi:type="dcterms:W3CDTF">2021-04-03T17:20:17Z</dcterms:created>
  <dcterms:modified xsi:type="dcterms:W3CDTF">2021-04-11T16:20:35Z</dcterms:modified>
</cp:coreProperties>
</file>